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nsitivity_2028" sheetId="4" state="visible" r:id="rId4"/>
    <sheet xmlns:r="http://schemas.openxmlformats.org/officeDocument/2006/relationships" name="Scenario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(Years)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'Scenarios'!$A$2:$A$6</f>
            </numRef>
          </cat>
          <val>
            <numRef>
              <f>'Scenarios'!$V$2:$V$6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Revenue by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'Scenario_Analysis'!B1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'Scenario_Analysis'!$A$2:$A$6</f>
            </numRef>
          </cat>
          <val>
            <numRef>
              <f>'Scenario_Analysis'!$B$2:$B$6</f>
            </numRef>
          </val>
        </ser>
        <ser>
          <idx val="1"/>
          <order val="1"/>
          <tx>
            <strRef>
              <f>'Scenario_Analysis'!C1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'Scenario_Analysis'!$A$2:$A$6</f>
            </numRef>
          </cat>
          <val>
            <numRef>
              <f>'Scenario_Analysis'!$C$2:$C$6</f>
            </numRef>
          </val>
        </ser>
        <ser>
          <idx val="2"/>
          <order val="2"/>
          <tx>
            <strRef>
              <f>'Scenario_Analysis'!D1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'Scenario_Analysis'!$A$2:$A$6</f>
            </numRef>
          </cat>
          <val>
            <numRef>
              <f>'Scenario_Analysis'!$D$2:$D$6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24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ActiveUsers</t>
        </is>
      </c>
      <c r="C1" s="1" t="inlineStr">
        <is>
          <t>TaxFeatureAdoption%</t>
        </is>
      </c>
      <c r="D1" s="1" t="inlineStr">
        <is>
          <t>AdoptedUsers</t>
        </is>
      </c>
      <c r="E1" s="1" t="inlineStr">
        <is>
          <t>FreemiumUsers</t>
        </is>
      </c>
      <c r="F1" s="1" t="inlineStr">
        <is>
          <t>PremiumConversion%</t>
        </is>
      </c>
      <c r="G1" s="1" t="inlineStr">
        <is>
          <t>PremiumUsers</t>
        </is>
      </c>
      <c r="H1" s="1" t="inlineStr">
        <is>
          <t>PremiumPriceUSD</t>
        </is>
      </c>
      <c r="I1" s="1" t="inlineStr">
        <is>
          <t>PremiumRevenueUSD</t>
        </is>
      </c>
      <c r="J1" s="1" t="inlineStr">
        <is>
          <t>SubscriptionAddOnPriceUSD</t>
        </is>
      </c>
      <c r="K1" s="1" t="inlineStr">
        <is>
          <t>SubscriptionAddOnAdoption%</t>
        </is>
      </c>
      <c r="L1" s="1" t="inlineStr">
        <is>
          <t>SubscriptionAddOnRevenueUSD</t>
        </is>
      </c>
      <c r="M1" s="1" t="inlineStr">
        <is>
          <t>PerFilingCount</t>
        </is>
      </c>
      <c r="N1" s="1" t="inlineStr">
        <is>
          <t>PerFilingPriceUSD</t>
        </is>
      </c>
      <c r="O1" s="1" t="inlineStr">
        <is>
          <t>PerFilingRevenueUSD</t>
        </is>
      </c>
      <c r="P1" s="1" t="inlineStr">
        <is>
          <t>ReferralAdoption%</t>
        </is>
      </c>
      <c r="Q1" s="1" t="inlineStr">
        <is>
          <t>ReferralConversions</t>
        </is>
      </c>
      <c r="R1" s="1" t="inlineStr">
        <is>
          <t>ReferralCommissionUSD</t>
        </is>
      </c>
      <c r="S1" s="1" t="inlineStr">
        <is>
          <t>ReferralRevenueUSD</t>
        </is>
      </c>
      <c r="T1" s="1" t="inlineStr">
        <is>
          <t>IntegrationLicensingCostsUSD</t>
        </is>
      </c>
      <c r="U1" s="1" t="inlineStr">
        <is>
          <t>DevAndOpsUSD</t>
        </is>
      </c>
      <c r="V1" s="1" t="inlineStr">
        <is>
          <t>TotalRevenueUSD</t>
        </is>
      </c>
      <c r="W1" s="1" t="inlineStr">
        <is>
          <t>TotalCostsUSD</t>
        </is>
      </c>
      <c r="X1" s="1" t="inlineStr">
        <is>
          <t>NetUSD</t>
        </is>
      </c>
    </row>
    <row r="2">
      <c r="A2" t="n">
        <v>2026</v>
      </c>
      <c r="B2" t="n">
        <v>250000</v>
      </c>
      <c r="C2" t="n">
        <v>10</v>
      </c>
      <c r="D2" t="n">
        <v>25000</v>
      </c>
      <c r="E2" t="n">
        <v>20000</v>
      </c>
      <c r="F2" t="n">
        <v>5</v>
      </c>
      <c r="G2" t="n">
        <v>1250</v>
      </c>
      <c r="H2" t="n">
        <v>19.99</v>
      </c>
      <c r="I2" t="n">
        <v>24987.5</v>
      </c>
      <c r="J2" t="n">
        <v>49.99</v>
      </c>
      <c r="K2" t="n">
        <v>1</v>
      </c>
      <c r="L2" t="n">
        <v>1249.75</v>
      </c>
      <c r="M2" t="n">
        <v>5000</v>
      </c>
      <c r="N2" t="n">
        <v>29.99</v>
      </c>
      <c r="O2" t="n">
        <v>149950</v>
      </c>
      <c r="P2" t="n">
        <v>2</v>
      </c>
      <c r="Q2" t="n">
        <v>1000</v>
      </c>
      <c r="R2" t="n">
        <v>2000</v>
      </c>
      <c r="S2" t="n">
        <v>100000</v>
      </c>
      <c r="T2" t="n">
        <v>250000</v>
      </c>
      <c r="U2" t="n">
        <v>179187.25</v>
      </c>
      <c r="V2" t="n">
        <v>350000</v>
      </c>
      <c r="W2" t="n">
        <v>-170812.75</v>
      </c>
    </row>
    <row r="3">
      <c r="A3" t="n">
        <v>2027</v>
      </c>
      <c r="B3" t="n">
        <v>400000</v>
      </c>
      <c r="C3" t="n">
        <v>12</v>
      </c>
      <c r="D3" t="n">
        <v>48000</v>
      </c>
      <c r="E3" t="n">
        <v>38400</v>
      </c>
      <c r="F3" t="n">
        <v>7</v>
      </c>
      <c r="G3" t="n">
        <v>2688</v>
      </c>
      <c r="H3" t="n">
        <v>19.99</v>
      </c>
      <c r="I3" t="n">
        <v>53741.12</v>
      </c>
      <c r="J3" t="n">
        <v>49.99</v>
      </c>
      <c r="K3" t="n">
        <v>2</v>
      </c>
      <c r="L3" t="n">
        <v>38400</v>
      </c>
      <c r="M3" t="n">
        <v>9000</v>
      </c>
      <c r="N3" t="n">
        <v>29.99</v>
      </c>
      <c r="O3" t="n">
        <v>269910</v>
      </c>
      <c r="P3" t="n">
        <v>3</v>
      </c>
      <c r="Q3" t="n">
        <v>1440</v>
      </c>
      <c r="R3" t="n">
        <v>4320</v>
      </c>
      <c r="S3" t="n">
        <v>150000</v>
      </c>
      <c r="T3" t="n">
        <v>300000</v>
      </c>
      <c r="U3" t="n">
        <v>323371.12</v>
      </c>
      <c r="V3" t="n">
        <v>450000</v>
      </c>
      <c r="W3" t="n">
        <v>-126628.88</v>
      </c>
    </row>
    <row r="4">
      <c r="A4" t="n">
        <v>2028</v>
      </c>
      <c r="B4" t="n">
        <v>600000</v>
      </c>
      <c r="C4" t="n">
        <v>15</v>
      </c>
      <c r="D4" t="n">
        <v>90000</v>
      </c>
      <c r="E4" t="n">
        <v>72000</v>
      </c>
      <c r="F4" t="n">
        <v>9</v>
      </c>
      <c r="G4" t="n">
        <v>6480</v>
      </c>
      <c r="H4" t="n">
        <v>19.99</v>
      </c>
      <c r="I4" t="n">
        <v>129415.2</v>
      </c>
      <c r="J4" t="n">
        <v>49.99</v>
      </c>
      <c r="K4" t="n">
        <v>3</v>
      </c>
      <c r="L4" t="n">
        <v>216000</v>
      </c>
      <c r="M4" t="n">
        <v>15000</v>
      </c>
      <c r="N4" t="n">
        <v>29.99</v>
      </c>
      <c r="O4" t="n">
        <v>449850</v>
      </c>
      <c r="P4" t="n">
        <v>4</v>
      </c>
      <c r="Q4" t="n">
        <v>3600</v>
      </c>
      <c r="R4" t="n">
        <v>14400</v>
      </c>
      <c r="S4" t="n">
        <v>200000</v>
      </c>
      <c r="T4" t="n">
        <v>350000</v>
      </c>
      <c r="U4" t="n">
        <v>809665.2</v>
      </c>
      <c r="V4" t="n">
        <v>550000</v>
      </c>
      <c r="W4" t="n">
        <v>259665.2</v>
      </c>
    </row>
    <row r="5">
      <c r="A5" t="n">
        <v>2029</v>
      </c>
      <c r="B5" t="n">
        <v>800000</v>
      </c>
      <c r="C5" t="n">
        <v>18</v>
      </c>
      <c r="D5" t="n">
        <v>144000</v>
      </c>
      <c r="E5" t="n">
        <v>115200</v>
      </c>
      <c r="F5" t="n">
        <v>10</v>
      </c>
      <c r="G5" t="n">
        <v>11520</v>
      </c>
      <c r="H5" t="n">
        <v>19.99</v>
      </c>
      <c r="I5" t="n">
        <v>230649.28</v>
      </c>
      <c r="J5" t="n">
        <v>49.99</v>
      </c>
      <c r="K5" t="n">
        <v>4</v>
      </c>
      <c r="L5" t="n">
        <v>460800</v>
      </c>
      <c r="M5" t="n">
        <v>20000</v>
      </c>
      <c r="N5" t="n">
        <v>29.99</v>
      </c>
      <c r="O5" t="n">
        <v>599800</v>
      </c>
      <c r="P5" t="n">
        <v>5</v>
      </c>
      <c r="Q5" t="n">
        <v>7200</v>
      </c>
      <c r="R5" t="n">
        <v>36000</v>
      </c>
      <c r="S5" t="n">
        <v>250000</v>
      </c>
      <c r="T5" t="n">
        <v>400000</v>
      </c>
      <c r="U5" t="n">
        <v>1322249.28</v>
      </c>
      <c r="V5" t="n">
        <v>650000</v>
      </c>
      <c r="W5" t="n">
        <v>672249.28</v>
      </c>
    </row>
    <row r="6">
      <c r="A6" t="n">
        <v>2030</v>
      </c>
      <c r="B6" t="n">
        <v>1000000</v>
      </c>
      <c r="C6" t="n">
        <v>20</v>
      </c>
      <c r="D6" t="n">
        <v>200000</v>
      </c>
      <c r="E6" t="n">
        <v>160000</v>
      </c>
      <c r="F6" t="n">
        <v>12</v>
      </c>
      <c r="G6" t="n">
        <v>19200</v>
      </c>
      <c r="H6" t="n">
        <v>19.99</v>
      </c>
      <c r="I6" t="n">
        <v>383808</v>
      </c>
      <c r="J6" t="n">
        <v>49.99</v>
      </c>
      <c r="K6" t="n">
        <v>5</v>
      </c>
      <c r="L6" t="n">
        <v>800000</v>
      </c>
      <c r="M6" t="n">
        <v>24000</v>
      </c>
      <c r="N6" t="n">
        <v>29.99</v>
      </c>
      <c r="O6" t="n">
        <v>719760</v>
      </c>
      <c r="P6" t="n">
        <v>6</v>
      </c>
      <c r="Q6" t="n">
        <v>12000</v>
      </c>
      <c r="R6" t="n">
        <v>72000</v>
      </c>
      <c r="S6" t="n">
        <v>300000</v>
      </c>
      <c r="T6" t="n">
        <v>450000</v>
      </c>
      <c r="U6" t="n">
        <v>1970568</v>
      </c>
      <c r="V6" t="n">
        <v>750000</v>
      </c>
      <c r="W6" t="n">
        <v>1220568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Notes</t>
        </is>
      </c>
      <c r="B2" t="inlineStr">
        <is>
          <t>These numbers are illustrative and should be replaced with real ATHENA metrics.</t>
        </is>
      </c>
    </row>
    <row r="3">
      <c r="A3" t="inlineStr">
        <is>
          <t>Premium price</t>
        </is>
      </c>
      <c r="B3" t="inlineStr">
        <is>
          <t>$19.99 annual</t>
        </is>
      </c>
    </row>
    <row r="4">
      <c r="A4" t="inlineStr">
        <is>
          <t>Subscription add-on price</t>
        </is>
      </c>
      <c r="B4" t="inlineStr">
        <is>
          <t>$49.99 annual</t>
        </is>
      </c>
    </row>
    <row r="5">
      <c r="A5" t="inlineStr">
        <is>
          <t>Per-filing price</t>
        </is>
      </c>
      <c r="B5" t="inlineStr">
        <is>
          <t>$29.99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(Row 2 Scenarios)</t>
        </is>
      </c>
      <c r="B2">
        <f>SUM(Scenarios!W2)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Premium\Adoption</t>
        </is>
      </c>
      <c r="B1" t="inlineStr">
        <is>
          <t>8%</t>
        </is>
      </c>
      <c r="C1" t="inlineStr">
        <is>
          <t>10%</t>
        </is>
      </c>
      <c r="D1" t="inlineStr">
        <is>
          <t>12%</t>
        </is>
      </c>
      <c r="E1" t="inlineStr">
        <is>
          <t>15%</t>
        </is>
      </c>
      <c r="F1" t="inlineStr">
        <is>
          <t>20%</t>
        </is>
      </c>
    </row>
    <row r="2">
      <c r="A2" t="inlineStr">
        <is>
          <t>2%</t>
        </is>
      </c>
      <c r="B2" t="n">
        <v>27979096</v>
      </c>
      <c r="C2" t="n">
        <v>34973870</v>
      </c>
      <c r="D2" t="n">
        <v>41968644</v>
      </c>
      <c r="E2" t="n">
        <v>52460805</v>
      </c>
      <c r="F2" t="n">
        <v>69947740</v>
      </c>
    </row>
    <row r="3">
      <c r="A3" t="inlineStr">
        <is>
          <t>5%</t>
        </is>
      </c>
      <c r="B3" t="n">
        <v>28007881.6</v>
      </c>
      <c r="C3" t="n">
        <v>35009852</v>
      </c>
      <c r="D3" t="n">
        <v>42011822.4</v>
      </c>
      <c r="E3" t="n">
        <v>52514778</v>
      </c>
      <c r="F3" t="n">
        <v>70019704</v>
      </c>
    </row>
    <row r="4">
      <c r="A4" t="inlineStr">
        <is>
          <t>10%</t>
        </is>
      </c>
      <c r="B4" t="n">
        <v>28055857.6</v>
      </c>
      <c r="C4" t="n">
        <v>35069822</v>
      </c>
      <c r="D4" t="n">
        <v>42083786.4</v>
      </c>
      <c r="E4" t="n">
        <v>52604733</v>
      </c>
      <c r="F4" t="n">
        <v>70139644</v>
      </c>
    </row>
    <row r="5">
      <c r="A5" t="inlineStr">
        <is>
          <t>15%</t>
        </is>
      </c>
      <c r="B5" t="n">
        <v>28103833.6</v>
      </c>
      <c r="C5" t="n">
        <v>35129792</v>
      </c>
      <c r="D5" t="n">
        <v>42155750.4</v>
      </c>
      <c r="E5" t="n">
        <v>52694688</v>
      </c>
      <c r="F5" t="n">
        <v>70259584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Conservative</t>
        </is>
      </c>
      <c r="C1" t="inlineStr">
        <is>
          <t>Base</t>
        </is>
      </c>
      <c r="D1" t="inlineStr">
        <is>
          <t>Upside</t>
        </is>
      </c>
    </row>
    <row r="2">
      <c r="A2" t="n">
        <v>2026</v>
      </c>
      <c r="B2" t="n">
        <v>1525947.13</v>
      </c>
      <c r="C2" t="n">
        <v>2187435</v>
      </c>
      <c r="D2" t="n">
        <v>3079900.25</v>
      </c>
    </row>
    <row r="3">
      <c r="A3" t="n">
        <v>2027</v>
      </c>
      <c r="B3" t="n">
        <v>4609993.82</v>
      </c>
      <c r="C3" t="n">
        <v>6605866.8</v>
      </c>
      <c r="D3" t="n">
        <v>9295230</v>
      </c>
    </row>
    <row r="4">
      <c r="A4" t="n">
        <v>2028</v>
      </c>
      <c r="B4" t="n">
        <v>36776716.41</v>
      </c>
      <c r="C4" t="n">
        <v>52586742</v>
      </c>
      <c r="D4" t="n">
        <v>73734782.09999999</v>
      </c>
    </row>
    <row r="5">
      <c r="A5" t="n">
        <v>2029</v>
      </c>
      <c r="B5" t="n">
        <v>182202469.12</v>
      </c>
      <c r="C5" t="n">
        <v>260375598.4</v>
      </c>
      <c r="D5" t="n">
        <v>364727336.96</v>
      </c>
    </row>
    <row r="6">
      <c r="A6" t="n">
        <v>2030</v>
      </c>
      <c r="B6" t="n">
        <v>605888844.4</v>
      </c>
      <c r="C6" t="n">
        <v>865699420</v>
      </c>
      <c r="D6" t="n">
        <v>1212315020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2025-12-07T08:23:09Z</dcterms:created>
  <dcterms:modified xmlns:dcterms="http://purl.org/dc/terms/" xmlns:xsi="http://www.w3.org/2001/XMLSchema-instance" xsi:type="dcterms:W3CDTF">2025-12-07T09:09:57Z</dcterms:modified>
</cp:coreProperties>
</file>